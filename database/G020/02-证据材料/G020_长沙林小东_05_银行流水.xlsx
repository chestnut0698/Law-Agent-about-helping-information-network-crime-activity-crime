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银行流水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<sst xmlns="http://schemas.openxmlformats.org/spreadsheetml/2006/main" count="32" uniqueCount="24">
  <si>
    <t xml:space="preserve">交易日期</t>
  </si>
  <si>
    <t xml:space="preserve">摘要</t>
  </si>
  <si>
    <t xml:space="preserve">收入（元）</t>
  </si>
  <si>
    <t xml:space="preserve">支出（元）</t>
  </si>
  <si>
    <t xml:space="preserve">余额（元）</t>
  </si>
  <si>
    <t xml:space="preserve">对方账号</t>
  </si>
  <si>
    <t xml:space="preserve">备注</t>
  </si>
  <si>
    <t xml:space="preserve">2024-04-20 16:00</t>
  </si>
  <si>
    <t xml:space="preserve">开户存入</t>
  </si>
  <si>
    <t xml:space="preserve">—</t>
  </si>
  <si>
    <t xml:space="preserve">2024-04-23 14:30</t>
  </si>
  <si>
    <t xml:space="preserve">跨行转账</t>
  </si>
  <si>
    <t xml:space="preserve">*******7788</t>
  </si>
  <si>
    <t xml:space="preserve">开光</t>
  </si>
  <si>
    <t xml:space="preserve">2024-04-23 16:30</t>
  </si>
  <si>
    <t xml:space="preserve">6222******2233</t>
  </si>
  <si>
    <t xml:space="preserve">2024-04-23 16:50</t>
  </si>
  <si>
    <t xml:space="preserve">网银转出</t>
  </si>
  <si>
    <t xml:space="preserve">6222******4455</t>
  </si>
  <si>
    <t xml:space="preserve">2024-04-24 09:00</t>
  </si>
  <si>
    <t xml:space="preserve">6222******6677</t>
  </si>
  <si>
    <t xml:space="preserve">2024-04-24 09:20</t>
  </si>
  <si>
    <t xml:space="preserve">6222******7788</t>
  </si>
  <si>
    <t xml:space="preserve">合计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</si>
</sst>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WenQuanYi Micro Hei"/>
      <family val="0"/>
      <charset val="1"/>
    </font>
    <font>
      <sz val="10"/>
      <name val="WenQuanYi Micro Hei"/>
      <family val="0"/>
      <charset val="1"/>
    </font>
    <font>
      <b val="true"/>
      <sz val="10"/>
      <name val="WenQuanYi Micro He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.99"/>
    <col collapsed="false" customWidth="true" hidden="false" outlineLevel="0" max="5" min="3" style="0" width="14.01"/>
    <col collapsed="false" customWidth="true" hidden="false" outlineLevel="0" max="6" min="6" style="0" width="18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3" t="n">
        <v>10</v>
      </c>
      <c r="D2" s="3" t="n">
        <v>0</v>
      </c>
      <c r="E2" s="3" t="n">
        <f aca="false">C2-D2</f>
        <v>10</v>
      </c>
      <c r="F2" s="2" t="s">
        <v>9</v>
      </c>
      <c r="G2" s="2" t="s">
        <v>9</v>
      </c>
    </row>
    <row r="3" customFormat="false" ht="15" hidden="false" customHeight="false" outlineLevel="0" collapsed="false">
      <c r="A3" s="2" t="s">
        <v>10</v>
      </c>
      <c r="B3" s="2" t="s">
        <v>11</v>
      </c>
      <c r="C3" s="3" t="n">
        <v>1</v>
      </c>
      <c r="D3" s="3" t="n">
        <v>0</v>
      </c>
      <c r="E3" s="3" t="n">
        <f aca="false">E2+C3-D3</f>
        <v>11</v>
      </c>
      <c r="F3" s="2" t="s">
        <v>12</v>
      </c>
      <c r="G3" s="2" t="s">
        <v>13</v>
      </c>
    </row>
    <row r="4" customFormat="false" ht="15" hidden="false" customHeight="false" outlineLevel="0" collapsed="false">
      <c r="A4" s="2" t="s">
        <v>14</v>
      </c>
      <c r="B4" s="2" t="s">
        <v>11</v>
      </c>
      <c r="C4" s="3" t="n">
        <v>350000</v>
      </c>
      <c r="D4" s="3" t="n">
        <v>0</v>
      </c>
      <c r="E4" s="3" t="n">
        <f aca="false">E3+C4-D4</f>
        <v>350011</v>
      </c>
      <c r="F4" s="2" t="s">
        <v>15</v>
      </c>
      <c r="G4" s="2" t="s">
        <v>9</v>
      </c>
    </row>
    <row r="5" customFormat="false" ht="15" hidden="false" customHeight="false" outlineLevel="0" collapsed="false">
      <c r="A5" s="2" t="s">
        <v>16</v>
      </c>
      <c r="B5" s="2" t="s">
        <v>17</v>
      </c>
      <c r="C5" s="3" t="n">
        <v>0</v>
      </c>
      <c r="D5" s="3" t="n">
        <v>348000</v>
      </c>
      <c r="E5" s="3" t="n">
        <f aca="false">E4+C5-D5</f>
        <v>2011</v>
      </c>
      <c r="F5" s="2" t="s">
        <v>18</v>
      </c>
      <c r="G5" s="2" t="s">
        <v>9</v>
      </c>
    </row>
    <row r="6" customFormat="false" ht="15" hidden="false" customHeight="false" outlineLevel="0" collapsed="false">
      <c r="A6" s="2" t="s">
        <v>19</v>
      </c>
      <c r="B6" s="2" t="s">
        <v>11</v>
      </c>
      <c r="C6" s="3" t="n">
        <v>300000</v>
      </c>
      <c r="D6" s="3" t="n">
        <v>0</v>
      </c>
      <c r="E6" s="3" t="n">
        <f aca="false">E5+C6-D6</f>
        <v>302011</v>
      </c>
      <c r="F6" s="2" t="s">
        <v>20</v>
      </c>
      <c r="G6" s="2" t="s">
        <v>9</v>
      </c>
    </row>
    <row r="7" customFormat="false" ht="15" hidden="false" customHeight="false" outlineLevel="0" collapsed="false">
      <c r="A7" s="2" t="s">
        <v>21</v>
      </c>
      <c r="B7" s="2" t="s">
        <v>17</v>
      </c>
      <c r="C7" s="3" t="n">
        <v>0</v>
      </c>
      <c r="D7" s="3" t="n">
        <v>298000</v>
      </c>
      <c r="E7" s="3" t="n">
        <f aca="false">E6+C7-D7</f>
        <v>4011</v>
      </c>
      <c r="F7" s="2" t="s">
        <v>22</v>
      </c>
      <c r="G7" s="2" t="s">
        <v>9</v>
      </c>
    </row>
    <row r="8" customFormat="false" ht="15" hidden="false" customHeight="false" outlineLevel="0" collapsed="false">
      <c r="A8" s="4" t="s">
        <v>23</v>
      </c>
      <c r="B8" s="4"/>
      <c r="C8" s="5" t="n">
        <f aca="false">SUM(C2:C7)</f>
        <v>650011</v>
      </c>
      <c r="D8" s="5" t="n">
        <f aca="false">SUM(D2:D7)</f>
        <v>646000</v>
      </c>
      <c r="E8" s="5" t="n">
        <f aca="false">E7</f>
        <v>4011</v>
      </c>
      <c r="F8" s="4"/>
      <c r="G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2026-09-10T11:12:17Z</dcterms:created>
  <dc:creator>openpyxl</dc:creator>
  <dc:description/>
  <dc:language>en-US</dc:language>
  <cp:lastModifiedBy/>
  <dcterms:modified xsi:type="dcterms:W3CDTF">2026-09-10T11:12:17Z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