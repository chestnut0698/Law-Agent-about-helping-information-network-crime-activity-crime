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G012\03-证据材料\"/>
    </mc:Choice>
  </mc:AlternateContent>
  <bookViews>
    <workbookView windowWidth="23040" windowHeight="10500"/>
  </bookViews>
  <sheets>
    <sheet name="对公账户银行流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<sst xmlns="http://schemas.openxmlformats.org/spreadsheetml/2006/main" count="94" uniqueCount="47">
  <si>
    <t>南京宏达科技有限公司 对公账户交易流水</t>
  </si>
  <si>
    <t>账号：3200***********001　开户行：XX银行南京江宁支行　查询区间：2024年6月-2025年1月</t>
  </si>
  <si>
    <t>序号</t>
  </si>
  <si>
    <t>交易日期</t>
  </si>
  <si>
    <t>摘要</t>
  </si>
  <si>
    <t>收入金额（元）</t>
  </si>
  <si>
    <t>支出金额（元）</t>
  </si>
  <si>
    <t>账户余额（元）</t>
  </si>
  <si>
    <t>对方户名</t>
  </si>
  <si>
    <t>对方账号</t>
  </si>
  <si>
    <t>备注</t>
  </si>
  <si>
    <t>2024-06-10</t>
  </si>
  <si>
    <t>开户存入</t>
  </si>
  <si>
    <t>王建军</t>
  </si>
  <si>
    <t>个人账户</t>
  </si>
  <si>
    <t>注册资本</t>
  </si>
  <si>
    <t>2024-06-15</t>
  </si>
  <si>
    <t>跨行转账</t>
  </si>
  <si>
    <t>刘某某</t>
  </si>
  <si>
    <t>6222***********</t>
  </si>
  <si>
    <t>涉诈账户</t>
  </si>
  <si>
    <t>网银转出</t>
  </si>
  <si>
    <t>赵某某</t>
  </si>
  <si>
    <t>扣除2%手续费</t>
  </si>
  <si>
    <t>2024-07-02</t>
  </si>
  <si>
    <t>某某科技有限公司</t>
  </si>
  <si>
    <t>3102***********</t>
  </si>
  <si>
    <t>钱某某</t>
  </si>
  <si>
    <t>2024-08-10</t>
  </si>
  <si>
    <t>周某某</t>
  </si>
  <si>
    <t>孙某某</t>
  </si>
  <si>
    <t>2024-09-05</t>
  </si>
  <si>
    <t>吴某某</t>
  </si>
  <si>
    <t>郑某某</t>
  </si>
  <si>
    <t>2024-10-12</t>
  </si>
  <si>
    <t>冯某某</t>
  </si>
  <si>
    <t>陈某某</t>
  </si>
  <si>
    <t>2024-11-20</t>
  </si>
  <si>
    <t>褚某某</t>
  </si>
  <si>
    <t>卫某某</t>
  </si>
  <si>
    <t>2024-12-15</t>
  </si>
  <si>
    <t>转账</t>
  </si>
  <si>
    <t>提现获利</t>
  </si>
  <si>
    <t>2025-01-10</t>
  </si>
  <si>
    <t>合计</t>
  </si>
  <si>
    <t/>
  </si>
  <si>
    <t>特征分析：全部大额入账均在24小时内快速转出，无任何合同或发票对应，符合为信息网络犯罪提供资金结算帮助的特征。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</si>
</sst>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3"/>
      <color rgb="FF1F3864"/>
      <name val="SimHei"/>
      <charset val="134"/>
    </font>
    <font>
      <sz val="10"/>
      <name val="FangSong"/>
      <charset val="134"/>
    </font>
    <font>
      <b/>
      <sz val="10.5"/>
      <color rgb="FFFFFFFF"/>
      <name val="SimHei"/>
      <charset val="134"/>
    </font>
    <font>
      <b/>
      <sz val="10.5"/>
      <name val="SimHei"/>
      <charset val="134"/>
    </font>
    <font>
      <sz val="10"/>
      <color rgb="FF883333"/>
      <name val="FangSong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F18" sqref="F18"/>
    </sheetView>
  </sheetViews>
  <sheetFormatPr defaultColWidth="9" defaultRowHeight="14.4"/>
  <cols>
    <col min="1" max="1" width="6" customWidth="1"/>
    <col min="2" max="2" width="14" customWidth="1"/>
    <col min="3" max="3" width="12" customWidth="1"/>
    <col min="4" max="6" width="16" customWidth="1"/>
    <col min="7" max="8" width="18" customWidth="1"/>
    <col min="9" max="9" width="16" customWidth="1"/>
  </cols>
  <sheetData>
    <row r="1" ht="16.8" spans="1:9">
      <c r="A1" s="1" t="s">
        <v>0</v>
      </c>
    </row>
    <row r="2" spans="1:9">
      <c r="A2" s="2" t="s">
        <v>1</v>
      </c>
    </row>
    <row r="3" spans="1: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>
      <c r="A4" s="4">
        <v>1</v>
      </c>
      <c r="B4" s="4" t="s">
        <v>11</v>
      </c>
      <c r="C4" s="4" t="s">
        <v>12</v>
      </c>
      <c r="D4" s="4">
        <v>10000</v>
      </c>
      <c r="E4" s="4">
        <v>0</v>
      </c>
      <c r="F4" s="4">
        <v>10000</v>
      </c>
      <c r="G4" s="4" t="s">
        <v>13</v>
      </c>
      <c r="H4" s="4" t="s">
        <v>14</v>
      </c>
      <c r="I4" s="4" t="s">
        <v>15</v>
      </c>
    </row>
    <row r="5" spans="1:9">
      <c r="A5" s="4">
        <v>2</v>
      </c>
      <c r="B5" s="4" t="s">
        <v>16</v>
      </c>
      <c r="C5" s="4" t="s">
        <v>17</v>
      </c>
      <c r="D5" s="4">
        <v>800000</v>
      </c>
      <c r="E5" s="4">
        <v>0</v>
      </c>
      <c r="F5" s="4">
        <v>810000</v>
      </c>
      <c r="G5" s="4" t="s">
        <v>18</v>
      </c>
      <c r="H5" s="4" t="s">
        <v>19</v>
      </c>
      <c r="I5" s="4" t="s">
        <v>20</v>
      </c>
    </row>
    <row r="6" spans="1:9">
      <c r="A6" s="4">
        <v>3</v>
      </c>
      <c r="B6" s="4" t="s">
        <v>16</v>
      </c>
      <c r="C6" s="4" t="s">
        <v>21</v>
      </c>
      <c r="D6" s="4">
        <v>0</v>
      </c>
      <c r="E6" s="4">
        <v>784000</v>
      </c>
      <c r="F6" s="4">
        <v>26000</v>
      </c>
      <c r="G6" s="4" t="s">
        <v>22</v>
      </c>
      <c r="H6" s="4" t="s">
        <v>19</v>
      </c>
      <c r="I6" s="4" t="s">
        <v>23</v>
      </c>
    </row>
    <row r="7" spans="1:9">
      <c r="A7" s="4">
        <v>4</v>
      </c>
      <c r="B7" s="4" t="s">
        <v>24</v>
      </c>
      <c r="C7" s="4" t="s">
        <v>17</v>
      </c>
      <c r="D7" s="4">
        <v>1200000</v>
      </c>
      <c r="E7" s="4">
        <v>0</v>
      </c>
      <c r="F7" s="4">
        <v>1226000</v>
      </c>
      <c r="G7" s="4" t="s">
        <v>25</v>
      </c>
      <c r="H7" s="4" t="s">
        <v>26</v>
      </c>
      <c r="I7" s="4" t="s">
        <v>20</v>
      </c>
    </row>
    <row r="8" spans="1:9">
      <c r="A8" s="4">
        <v>5</v>
      </c>
      <c r="B8" s="4" t="s">
        <v>24</v>
      </c>
      <c r="C8" s="4" t="s">
        <v>21</v>
      </c>
      <c r="D8" s="4">
        <v>0</v>
      </c>
      <c r="E8" s="4">
        <v>1176000</v>
      </c>
      <c r="F8" s="4">
        <v>50000</v>
      </c>
      <c r="G8" s="4" t="s">
        <v>27</v>
      </c>
      <c r="H8" s="4" t="s">
        <v>19</v>
      </c>
      <c r="I8" s="4" t="s">
        <v>23</v>
      </c>
    </row>
    <row r="9" spans="1:9">
      <c r="A9" s="4">
        <v>6</v>
      </c>
      <c r="B9" s="4" t="s">
        <v>28</v>
      </c>
      <c r="C9" s="4" t="s">
        <v>17</v>
      </c>
      <c r="D9" s="4">
        <v>900000</v>
      </c>
      <c r="E9" s="4">
        <v>0</v>
      </c>
      <c r="F9" s="4">
        <v>950000</v>
      </c>
      <c r="G9" s="4" t="s">
        <v>29</v>
      </c>
      <c r="H9" s="4" t="s">
        <v>19</v>
      </c>
      <c r="I9" s="4" t="s">
        <v>20</v>
      </c>
    </row>
    <row r="10" spans="1:9">
      <c r="A10" s="4">
        <v>7</v>
      </c>
      <c r="B10" s="4" t="s">
        <v>28</v>
      </c>
      <c r="C10" s="4" t="s">
        <v>21</v>
      </c>
      <c r="D10" s="4">
        <v>0</v>
      </c>
      <c r="E10" s="4">
        <v>882000</v>
      </c>
      <c r="F10" s="4">
        <v>68000</v>
      </c>
      <c r="G10" s="4" t="s">
        <v>30</v>
      </c>
      <c r="H10" s="4" t="s">
        <v>19</v>
      </c>
      <c r="I10" s="4" t="s">
        <v>23</v>
      </c>
    </row>
    <row r="11" spans="1:9">
      <c r="A11" s="4">
        <v>8</v>
      </c>
      <c r="B11" s="4" t="s">
        <v>31</v>
      </c>
      <c r="C11" s="4" t="s">
        <v>17</v>
      </c>
      <c r="D11" s="4">
        <v>1500000</v>
      </c>
      <c r="E11" s="4">
        <v>0</v>
      </c>
      <c r="F11" s="4">
        <v>1568000</v>
      </c>
      <c r="G11" s="4" t="s">
        <v>32</v>
      </c>
      <c r="H11" s="4" t="s">
        <v>19</v>
      </c>
      <c r="I11" s="4" t="s">
        <v>20</v>
      </c>
    </row>
    <row r="12" spans="1:9">
      <c r="A12" s="4">
        <v>9</v>
      </c>
      <c r="B12" s="4" t="s">
        <v>31</v>
      </c>
      <c r="C12" s="4" t="s">
        <v>21</v>
      </c>
      <c r="D12" s="4">
        <v>0</v>
      </c>
      <c r="E12" s="4">
        <v>1470000</v>
      </c>
      <c r="F12" s="4">
        <v>98000</v>
      </c>
      <c r="G12" s="4" t="s">
        <v>33</v>
      </c>
      <c r="H12" s="4" t="s">
        <v>19</v>
      </c>
      <c r="I12" s="4" t="s">
        <v>23</v>
      </c>
    </row>
    <row r="13" spans="1:9">
      <c r="A13" s="4">
        <v>10</v>
      </c>
      <c r="B13" s="4" t="s">
        <v>34</v>
      </c>
      <c r="C13" s="4" t="s">
        <v>17</v>
      </c>
      <c r="D13" s="4">
        <v>600000</v>
      </c>
      <c r="E13" s="4">
        <v>0</v>
      </c>
      <c r="F13" s="4">
        <v>698000</v>
      </c>
      <c r="G13" s="4" t="s">
        <v>35</v>
      </c>
      <c r="H13" s="4" t="s">
        <v>19</v>
      </c>
      <c r="I13" s="4" t="s">
        <v>20</v>
      </c>
    </row>
    <row r="14" spans="1:9">
      <c r="A14" s="4">
        <v>11</v>
      </c>
      <c r="B14" s="4" t="s">
        <v>34</v>
      </c>
      <c r="C14" s="4" t="s">
        <v>21</v>
      </c>
      <c r="D14" s="4">
        <v>0</v>
      </c>
      <c r="E14" s="4">
        <v>588000</v>
      </c>
      <c r="F14" s="4">
        <v>110000</v>
      </c>
      <c r="G14" s="4" t="s">
        <v>36</v>
      </c>
      <c r="H14" s="4" t="s">
        <v>19</v>
      </c>
      <c r="I14" s="4" t="s">
        <v>23</v>
      </c>
    </row>
    <row r="15" spans="1:9">
      <c r="A15" s="4">
        <v>12</v>
      </c>
      <c r="B15" s="4" t="s">
        <v>37</v>
      </c>
      <c r="C15" s="4" t="s">
        <v>17</v>
      </c>
      <c r="D15" s="4">
        <v>628400</v>
      </c>
      <c r="E15" s="4">
        <v>0</v>
      </c>
      <c r="F15" s="4">
        <v>738400</v>
      </c>
      <c r="G15" s="4" t="s">
        <v>38</v>
      </c>
      <c r="H15" s="4" t="s">
        <v>19</v>
      </c>
      <c r="I15" s="4" t="s">
        <v>20</v>
      </c>
    </row>
    <row r="16" spans="1:9">
      <c r="A16" s="4">
        <v>13</v>
      </c>
      <c r="B16" s="4" t="s">
        <v>37</v>
      </c>
      <c r="C16" s="4" t="s">
        <v>21</v>
      </c>
      <c r="D16" s="4">
        <v>0</v>
      </c>
      <c r="E16" s="4">
        <v>616000</v>
      </c>
      <c r="F16" s="4">
        <v>122400</v>
      </c>
      <c r="G16" s="4" t="s">
        <v>39</v>
      </c>
      <c r="H16" s="4" t="s">
        <v>19</v>
      </c>
      <c r="I16" s="4" t="s">
        <v>23</v>
      </c>
    </row>
    <row r="17" spans="1:9">
      <c r="A17" s="4">
        <v>14</v>
      </c>
      <c r="B17" s="4" t="s">
        <v>40</v>
      </c>
      <c r="C17" s="4" t="s">
        <v>41</v>
      </c>
      <c r="D17" s="4">
        <v>0</v>
      </c>
      <c r="E17" s="4">
        <v>50000</v>
      </c>
      <c r="F17" s="4">
        <v>72400</v>
      </c>
      <c r="G17" s="4" t="s">
        <v>13</v>
      </c>
      <c r="H17" s="4" t="s">
        <v>14</v>
      </c>
      <c r="I17" s="4" t="s">
        <v>42</v>
      </c>
    </row>
    <row r="18" spans="1:9">
      <c r="A18" s="4">
        <v>15</v>
      </c>
      <c r="B18" s="4" t="s">
        <v>43</v>
      </c>
      <c r="C18" s="4" t="s">
        <v>41</v>
      </c>
      <c r="D18" s="4">
        <v>0</v>
      </c>
      <c r="E18" s="4">
        <v>60000</v>
      </c>
      <c r="F18" s="4">
        <v>12400</v>
      </c>
      <c r="G18" s="4" t="s">
        <v>13</v>
      </c>
      <c r="H18" s="4" t="s">
        <v>14</v>
      </c>
      <c r="I18" s="4" t="s">
        <v>42</v>
      </c>
    </row>
    <row r="19" spans="1:9">
      <c r="A19" s="5" t="s">
        <v>44</v>
      </c>
      <c r="B19" s="5" t="s">
        <v>45</v>
      </c>
      <c r="C19" s="5" t="s">
        <v>45</v>
      </c>
      <c r="D19" s="5">
        <f>SUM(D2:D16)</f>
        <v>5638400</v>
      </c>
      <c r="E19" s="5">
        <v>5626000</v>
      </c>
      <c r="F19" s="5" t="s">
        <v>45</v>
      </c>
      <c r="G19" s="5" t="s">
        <v>45</v>
      </c>
      <c r="H19" s="5" t="s">
        <v>45</v>
      </c>
      <c r="I19" s="5" t="s">
        <v>45</v>
      </c>
    </row>
    <row r="21" spans="1:9">
      <c r="A21" s="6" t="s">
        <v>46</v>
      </c>
    </row>
  </sheetData>
  <mergeCells count="3">
    <mergeCell ref="A1:I1"/>
    <mergeCell ref="A2:I2"/>
    <mergeCell ref="A21:I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对公账户银行流水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WPS_1755520970</cp:lastModifiedBy>
  <dcterms:created xsi:type="dcterms:W3CDTF">2026-08-28T09:25:00Z</dcterms:created>
  <dcterms:modified xsi:type="dcterms:W3CDTF">2026-08-29T01:19:49Z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{"Label":"1","ContentProducer":"001191440300708461136T1WFUO","ProduceID":"86a533df0064b218f3b0d46cd84d873b-YQR6","ReservedCode1":"{\"Type\":\" TC260PG\",\"Version\":1,\"Bindings\":[{\"Type\":\"soft\",\"AlgID\":\"sm3\",\"Value\":\"e878ea802e8db4db86b41f3f769d016b25628899e8e9e0fbf67a85b1d2bdf5c8\"},{\"Type\":\"hash\",\"AlgID\":\"sm3\",\"Value\":\"c1f3f71c2693fd8b97ab94b09c8b36497a63223a4d89af5a1e629b4a02cffea3\"}],\"PubSD\":[{\"Type\":\"DS\",\"AlgID\":\"sm2\",\"TBSData\":{\"Type\":\"Binding\",\"BType\":\"hash\"},\"Signature\":\"304402200cdbe108ac37d0fd32cc664d8716248fb86ae84185b57bc2904fc412b12fd57602206ac30a23238fb8e25783b99464cef1e17360606da8748616f0f01aacdd585692\"},{\"Type\":\"PubKey\",\"AlgID\":\"sm2\",\"KeyValue\":\"0407f79b28a17a752b3aae4305c98b48978213832729a2571850b1310b2bc9fe8fee039ccf25ebfeac27502414d9fcef792d777183c98893d226171c2f7a3289a2\"}],\"Extension\":{\"Timestamp\":1787909189,\"KeyVersion\":\"v1-TxLeOmf7bqU223\"}}","ContentPropagator":"001191440300708461136T1WFUO","PropagateID":"86a533df0064b218f3b0d46cd84d873b-YQR6","ReservedCode2":"{\"Type\":\" TC260PG\",\"Version\":1,\"Bindings\":[{\"Type\":\"soft\",\"AlgID\":\"sm3\",\"Value\":\"e878ea802e8db4db86b41f3f769d016b25628899e8e9e0fbf67a85b1d2bdf5c8\"},{\"Type\":\"hash\",\"AlgID\":\"sm3\",\"Value\":\"c1f3f71c2693fd8b97ab94b09c8b36497a63223a4d89af5a1e629b4a02cffea3\"}],\"PubSD\":[{\"Type\":\"DS\",\"AlgID\":\"sm2\",\"TBSData\":{\"Type\":\"Binding\",\"BType\":\"hash\"},\"Signature\":\"30440220598faaf7a902d920e9834e04aae7c51be0ba1856d3d751fdc288f71f08b7ce8702203bb5447a5f78cb9a86614e385b5ed81b1b635d84aaa544fca87f2f2ab1b00b99\"},{\"Type\":\"PubKey\",\"AlgID\":\"sm2\",\"KeyValue\":\"0407f79b28a17a752b3aae4305c98b48978213832729a2571850b1310b2bc9fe8fee039ccf25ebfeac27502414d9fcef792d777183c98893d226171c2f7a3289a2\"}],\"Extension\":{\"Timestamp\":1787909189,\"KeyVersion\":\"v1-TxLeOmf7bqU223\"}}"}</vt:lpwstr>
  </property>
  <property fmtid="{D5CDD505-2E9C-101B-9397-08002B2CF9AE}" pid="3" name="ICV">
    <vt:lpwstr>FC1AEA8E1BA749B09A031A5218067CBC_12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