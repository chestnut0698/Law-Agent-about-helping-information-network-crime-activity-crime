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表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<sst xmlns="http://schemas.openxmlformats.org/spreadsheetml/2006/main" count="215" uniqueCount="172">
  <si>
    <t>表B · 关联真值表（G014）</t>
  </si>
  <si>
    <t>编号</t>
  </si>
  <si>
    <t>关联维度</t>
  </si>
  <si>
    <t>跨案表现</t>
  </si>
  <si>
    <t>是否应发现</t>
  </si>
  <si>
    <t>难度</t>
  </si>
  <si>
    <t>原文依据</t>
  </si>
  <si>
    <t>L1</t>
  </si>
  <si>
    <t>同一银行卡</t>
  </si>
  <si>
    <t>三案涉案卡分别为农业银行6228480266123301、建设银行6217003322004418、邮储银行6221880266005591，分属三家不同银行，卡号无任何共用字段，亦无同一张卡在不同案件流转的情形。</t>
  </si>
  <si>
    <t>否</t>
  </si>
  <si>
    <t>—</t>
  </si>
  <si>
    <t>见下表《三案关键要素分布明细表》第1项</t>
  </si>
  <si>
    <t>L2</t>
  </si>
  <si>
    <t>同手机号</t>
  </si>
  <si>
    <t>卡主手机号：A 138****4417／B 187****9032／C 176****2284；上线手机号：A 139****8875／B 150****4419／C 181****6690。六个号码号段与后四位互不相同。</t>
  </si>
  <si>
    <t>见明细表第2、7项</t>
  </si>
  <si>
    <t>L3</t>
  </si>
  <si>
    <t>人员链（上线／卡头）</t>
  </si>
  <si>
    <t>上线分别为赵启明（绰号“眼镜”，身份证430111…4411）、孙德海（绰号“胖哥”，身份证520102…6613）、蔺志强（绰号“老蔺”，身份证620102…3018）。三人姓名、绰号、身份证、手机号四项均不同，且无任何一案的上线以本名或绰号出现在另一案卷宗中。</t>
  </si>
  <si>
    <t>中等</t>
  </si>
  <si>
    <t>见明细表第4、5、6项；表C</t>
  </si>
  <si>
    <t>L4</t>
  </si>
  <si>
    <t>实体别名归并</t>
  </si>
  <si>
    <t>三案绰号“眼镜”“胖哥”“老蔺”字面与构词方式互不相似，各自在案内已直接写明“绰号××，即×××”，不存在需跨案比对才能归并的别名，亦无同一人异称的情形。</t>
  </si>
  <si>
    <t>见表C《实体别名表》</t>
  </si>
  <si>
    <t>L5</t>
  </si>
  <si>
    <t>作案手法</t>
  </si>
  <si>
    <t>三案均为“交卡—上线报收款人姓名与卡号—本人持本人手机登录手机银行—人脸识别＋短信验证码—拆分转出至多个二级账户”，操作描述逐句高度雷同，是本组最主要的误报来源。</t>
  </si>
  <si>
    <t>困难</t>
  </si>
  <si>
    <t>见明细表第12项；三案起诉意见书“经依法侦查查明”段</t>
  </si>
  <si>
    <t>L6</t>
  </si>
  <si>
    <t>计酬方式</t>
  </si>
  <si>
    <t>三案均为“按走账流水抽成＋按刷脸出勤（操作）次数计酬”两段式：费率0.9%／1.0%／0.8%；出勤单价200元每日、50元每次、80元每次。结构一致、数值接近。</t>
  </si>
  <si>
    <t>见明细表第11、12、13项</t>
  </si>
  <si>
    <t>L7</t>
  </si>
  <si>
    <t>单日转账笔数限制</t>
  </si>
  <si>
    <t>B 案明示“一天最多不超过十笔”；A、C 案单日操作1笔，亦在十笔以内。三案均受“避免触发银行限额”的同一操作约束。</t>
  </si>
  <si>
    <t>B 讯问笔录；三案手机银行登录日志</t>
  </si>
  <si>
    <t>L8</t>
  </si>
  <si>
    <t>上游资金性质</t>
  </si>
  <si>
    <t>A 冒充客服诈骗（已查实被害人何丽娟48000元）／B 境外“凤凰国际”网络赌博平台赌资结算（无报案被害人）／C 虚假投资理财（已查实被害人寇文博52000元）。三类资金性质互不相同，且B案无被害人。</t>
  </si>
  <si>
    <t>见明细表第14、15项</t>
  </si>
  <si>
    <t>L9</t>
  </si>
  <si>
    <t>下游收款账户</t>
  </si>
  <si>
    <t>三案二级收款账户共94个（A 12／B 64／C 18），收款人姓名94个、账号94个，经全量比对，跨案无任一姓名或账号重复。</t>
  </si>
  <si>
    <t>三案《手机银行登录日志与人脸识别操作记录》</t>
  </si>
  <si>
    <t>L10</t>
  </si>
  <si>
    <t>作案时间</t>
  </si>
  <si>
    <t>A 2025.3.10–4.20、B 2025.4.5–5.28、C 2025.5.8–6.25，A与B、B与C均存在时间重叠，易被误读为同一批人连续作案。</t>
  </si>
  <si>
    <t>见明细表第9项；三案起诉意见书</t>
  </si>
  <si>
    <t>L11</t>
  </si>
  <si>
    <t>作案地域</t>
  </si>
  <si>
    <t>湖南株洲市天元区／贵州遵义市汇川区／甘肃天水市秦州区，分属华中、西南、西北，直线距离逾千公里，三案卡主户籍地亦分属430211、520303、620502三个不同地区码。</t>
  </si>
  <si>
    <t>见明细表第3、8项</t>
  </si>
  <si>
    <t>L12</t>
  </si>
  <si>
    <t>同案由</t>
  </si>
  <si>
    <t>三案均认定帮信罪、均援引《刑法》第二百八十七条之二第一款，均认定从犯、自首、认罪认罚、退赃并适用缓刑。</t>
  </si>
  <si>
    <t>三案起诉意见书、刑事判决书</t>
  </si>
  <si>
    <t>L13</t>
  </si>
  <si>
    <t>办案与审判主体</t>
  </si>
  <si>
    <t>分别由株洲市公安局天元分局／遵义市公安局汇川分局／天水市公安局秦州分局侦查，对应三地检察院起诉、三地法院审判，侦查人员、检察员、审判人员、书记员、辩护人共20人无一人跨案重复。</t>
  </si>
  <si>
    <t>见明细表第17、18、19、20项</t>
  </si>
  <si>
    <t>《三案关键要素分布明细表》</t>
  </si>
  <si>
    <t>序号</t>
  </si>
  <si>
    <t>要素</t>
  </si>
  <si>
    <t>A案（A-G014-001 李嘉豪）</t>
  </si>
  <si>
    <t>B案（B-G014-002 王俊杰）</t>
  </si>
  <si>
    <t>C案（C-G014-003 陈思远）</t>
  </si>
  <si>
    <t>跨案是否重合</t>
  </si>
  <si>
    <t>1</t>
  </si>
  <si>
    <t>涉案银行卡</t>
  </si>
  <si>
    <t>农业银行 6228480266123301</t>
  </si>
  <si>
    <t>建设银行 6217003322004418</t>
  </si>
  <si>
    <t>邮储银行 6221880266005591</t>
  </si>
  <si>
    <t>2</t>
  </si>
  <si>
    <t>绑定手机号</t>
  </si>
  <si>
    <t>138****4417</t>
  </si>
  <si>
    <t>187****9032</t>
  </si>
  <si>
    <t>176****2284</t>
  </si>
  <si>
    <t>3</t>
  </si>
  <si>
    <t>卡主身份证（前6位）</t>
  </si>
  <si>
    <t>430211（湖南株洲天元）</t>
  </si>
  <si>
    <t>520303（贵州遵义汇川）</t>
  </si>
  <si>
    <t>620502（甘肃天水秦州）</t>
  </si>
  <si>
    <t>4</t>
  </si>
  <si>
    <t>上线姓名</t>
  </si>
  <si>
    <t>赵启明（另案处理）</t>
  </si>
  <si>
    <t>孙德海（另案处理）</t>
  </si>
  <si>
    <t>蔺志强（另案处理）</t>
  </si>
  <si>
    <t>5</t>
  </si>
  <si>
    <t>上线绰号</t>
  </si>
  <si>
    <t>“眼镜”</t>
  </si>
  <si>
    <t>“胖哥”</t>
  </si>
  <si>
    <t>“老蔺”</t>
  </si>
  <si>
    <t>6</t>
  </si>
  <si>
    <t>上线身份证</t>
  </si>
  <si>
    <t>430111199105084411</t>
  </si>
  <si>
    <t>520102198804176613</t>
  </si>
  <si>
    <t>620102199307123018</t>
  </si>
  <si>
    <t>7</t>
  </si>
  <si>
    <t>上线手机号</t>
  </si>
  <si>
    <t>139****8875</t>
  </si>
  <si>
    <t>150****4419</t>
  </si>
  <si>
    <t>181****6690</t>
  </si>
  <si>
    <t>8</t>
  </si>
  <si>
    <t>作案地点</t>
  </si>
  <si>
    <t>株洲市天元区长江北路锦华商务酒店8612房间</t>
  </si>
  <si>
    <t>遵义市汇川区珠海路本人营运网约车内</t>
  </si>
  <si>
    <t>天水市秦州区民主路天成小区3号楼2单元601室</t>
  </si>
  <si>
    <t>9</t>
  </si>
  <si>
    <t>作案期间</t>
  </si>
  <si>
    <t>2025.3.10–4.20</t>
  </si>
  <si>
    <t>2025.4.5–5.28</t>
  </si>
  <si>
    <t>2025.5.8–6.25</t>
  </si>
  <si>
    <t>10</t>
  </si>
  <si>
    <t>单边流入资金</t>
  </si>
  <si>
    <t>480000元</t>
  </si>
  <si>
    <t>360000元</t>
  </si>
  <si>
    <t>520000元</t>
  </si>
  <si>
    <t>11</t>
  </si>
  <si>
    <t>走账提成费率</t>
  </si>
  <si>
    <t>0.9%（提成4320元）</t>
  </si>
  <si>
    <t>1.0%（提成3600元）</t>
  </si>
  <si>
    <t>0.8%（提成4160元）</t>
  </si>
  <si>
    <t>12</t>
  </si>
  <si>
    <t>刷脸出勤计酬</t>
  </si>
  <si>
    <t>200元/日，12日计2400元</t>
  </si>
  <si>
    <t>50元/次，64次计3200元</t>
  </si>
  <si>
    <t>80元/次，18次计1440元</t>
  </si>
  <si>
    <t>13</t>
  </si>
  <si>
    <t>非法获利合计</t>
  </si>
  <si>
    <t>6720元</t>
  </si>
  <si>
    <t>6800元</t>
  </si>
  <si>
    <t>5600元</t>
  </si>
  <si>
    <t>14</t>
  </si>
  <si>
    <t>冒充客服诈骗资金</t>
  </si>
  <si>
    <t>境外赌博平台赌资结算</t>
  </si>
  <si>
    <t>虚假投资理财诈骗资金</t>
  </si>
  <si>
    <t>15</t>
  </si>
  <si>
    <t>已查实被害人</t>
  </si>
  <si>
    <t>何丽娟（南京鼓楼）48000元</t>
  </si>
  <si>
    <t>无（未查实报案被害人）</t>
  </si>
  <si>
    <t>寇文博（宝鸡渭滨）52000元</t>
  </si>
  <si>
    <t>16</t>
  </si>
  <si>
    <t>下游二级账户数</t>
  </si>
  <si>
    <t>12个</t>
  </si>
  <si>
    <t>64个</t>
  </si>
  <si>
    <t>18个</t>
  </si>
  <si>
    <t>17</t>
  </si>
  <si>
    <t>承办公安机关</t>
  </si>
  <si>
    <t>株洲市公安局天元分局</t>
  </si>
  <si>
    <t>遵义市公安局汇川分局</t>
  </si>
  <si>
    <t>天水市公安局秦州分局</t>
  </si>
  <si>
    <t>18</t>
  </si>
  <si>
    <t>承办检察院</t>
  </si>
  <si>
    <t>株洲市天元区人民检察院</t>
  </si>
  <si>
    <t>遵义市汇川区人民检察院</t>
  </si>
  <si>
    <t>天水市秦州区人民检察院</t>
  </si>
  <si>
    <t>19</t>
  </si>
  <si>
    <t>审判法院</t>
  </si>
  <si>
    <t>株洲市天元区人民法院</t>
  </si>
  <si>
    <t>遵义市汇川区人民法院</t>
  </si>
  <si>
    <t>天水市秦州区人民法院</t>
  </si>
  <si>
    <t>20</t>
  </si>
  <si>
    <t>辩护人</t>
  </si>
  <si>
    <t>唐建平（湖南湘楚律师所）</t>
  </si>
  <si>
    <t>申修文（贵州汇川律师所）</t>
  </si>
  <si>
    <t>石建国（甘肃天靖律师所）</t>
  </si>
  <si>
    <t>比对要素总数</t>
  </si>
  <si>
    <t>跨案重合要素数</t>
  </si>
  <si>
    <t>跨案重合率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</si>
</sst>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28">
    <font>
      <sz val="11"/>
      <color theme="1"/>
      <name val="宋体"/>
      <charset val="134"/>
      <scheme val="minor"/>
    </font>
    <font>
      <b/>
      <sz val="12"/>
      <name val="WenQuanYi Micro Hei"/>
      <charset val="134"/>
    </font>
    <font>
      <b/>
      <sz val="10"/>
      <name val="WenQuanYi Micro Hei"/>
      <charset val="134"/>
    </font>
    <font>
      <sz val="10"/>
      <name val="WenQuanYi Micro Hei"/>
      <charset val="134"/>
    </font>
    <font>
      <b/>
      <sz val="10"/>
      <color rgb="FFC00000"/>
      <name val="WenQuanYi Micro Hei"/>
      <charset val="134"/>
    </font>
    <font>
      <b/>
      <sz val="10"/>
      <color rgb="FFC55A11"/>
      <name val="WenQuanYi Micro Hei"/>
      <charset val="134"/>
    </font>
    <font>
      <b/>
      <sz val="11"/>
      <name val="WenQuanYi Micro Hei"/>
      <charset val="134"/>
    </font>
    <font>
      <b/>
      <sz val="11"/>
      <color rgb="FFC00000"/>
      <name val="WenQuanYi Micro 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4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176" fontId="7" fillId="0" borderId="1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3"/>
  <sheetViews>
    <sheetView tabSelected="1" workbookViewId="0">
      <pane ySplit="2" topLeftCell="A36" activePane="bottomLeft" state="frozen"/>
      <selection/>
      <selection pane="bottomLeft" activeCell="E2" sqref="E$1:E$1048576"/>
    </sheetView>
  </sheetViews>
  <sheetFormatPr defaultColWidth="9" defaultRowHeight="13.5" outlineLevelCol="5"/>
  <cols>
    <col min="1" max="1" width="7" customWidth="1"/>
    <col min="2" max="2" width="17" customWidth="1"/>
    <col min="3" max="3" width="62" customWidth="1"/>
    <col min="4" max="4" width="17.8672566371681" customWidth="1"/>
    <col min="5" max="5" width="21.7079646017699" customWidth="1"/>
    <col min="6" max="6" width="34" customWidth="1"/>
  </cols>
  <sheetData>
    <row r="1" ht="26" customHeight="1" spans="1:1">
      <c r="A1" s="1" t="s">
        <v>0</v>
      </c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ht="58" customHeight="1" spans="1:6">
      <c r="A3" s="3" t="s">
        <v>7</v>
      </c>
      <c r="B3" s="4" t="s">
        <v>8</v>
      </c>
      <c r="C3" s="4" t="s">
        <v>9</v>
      </c>
      <c r="D3" s="5" t="s">
        <v>10</v>
      </c>
      <c r="E3" s="3" t="s">
        <v>11</v>
      </c>
      <c r="F3" s="4" t="s">
        <v>12</v>
      </c>
    </row>
    <row r="4" ht="58" customHeight="1" spans="1:6">
      <c r="A4" s="3" t="s">
        <v>13</v>
      </c>
      <c r="B4" s="4" t="s">
        <v>14</v>
      </c>
      <c r="C4" s="4" t="s">
        <v>15</v>
      </c>
      <c r="D4" s="5" t="s">
        <v>10</v>
      </c>
      <c r="E4" s="3" t="s">
        <v>11</v>
      </c>
      <c r="F4" s="4" t="s">
        <v>16</v>
      </c>
    </row>
    <row r="5" ht="58" customHeight="1" spans="1:6">
      <c r="A5" s="3" t="s">
        <v>17</v>
      </c>
      <c r="B5" s="4" t="s">
        <v>18</v>
      </c>
      <c r="C5" s="4" t="s">
        <v>19</v>
      </c>
      <c r="D5" s="5" t="s">
        <v>10</v>
      </c>
      <c r="E5" s="3" t="s">
        <v>20</v>
      </c>
      <c r="F5" s="4" t="s">
        <v>21</v>
      </c>
    </row>
    <row r="6" ht="58" customHeight="1" spans="1:6">
      <c r="A6" s="3" t="s">
        <v>22</v>
      </c>
      <c r="B6" s="4" t="s">
        <v>23</v>
      </c>
      <c r="C6" s="4" t="s">
        <v>24</v>
      </c>
      <c r="D6" s="5" t="s">
        <v>10</v>
      </c>
      <c r="E6" s="3" t="s">
        <v>11</v>
      </c>
      <c r="F6" s="4" t="s">
        <v>25</v>
      </c>
    </row>
    <row r="7" ht="58" customHeight="1" spans="1:6">
      <c r="A7" s="3" t="s">
        <v>26</v>
      </c>
      <c r="B7" s="4" t="s">
        <v>27</v>
      </c>
      <c r="C7" s="4" t="s">
        <v>28</v>
      </c>
      <c r="D7" s="5" t="s">
        <v>10</v>
      </c>
      <c r="E7" s="6" t="s">
        <v>29</v>
      </c>
      <c r="F7" s="4" t="s">
        <v>30</v>
      </c>
    </row>
    <row r="8" ht="58" customHeight="1" spans="1:6">
      <c r="A8" s="3" t="s">
        <v>31</v>
      </c>
      <c r="B8" s="4" t="s">
        <v>32</v>
      </c>
      <c r="C8" s="4" t="s">
        <v>33</v>
      </c>
      <c r="D8" s="5" t="s">
        <v>10</v>
      </c>
      <c r="E8" s="6" t="s">
        <v>29</v>
      </c>
      <c r="F8" s="4" t="s">
        <v>34</v>
      </c>
    </row>
    <row r="9" ht="58" customHeight="1" spans="1:6">
      <c r="A9" s="3" t="s">
        <v>35</v>
      </c>
      <c r="B9" s="4" t="s">
        <v>36</v>
      </c>
      <c r="C9" s="4" t="s">
        <v>37</v>
      </c>
      <c r="D9" s="5" t="s">
        <v>10</v>
      </c>
      <c r="E9" s="3" t="s">
        <v>11</v>
      </c>
      <c r="F9" s="4" t="s">
        <v>38</v>
      </c>
    </row>
    <row r="10" ht="58" customHeight="1" spans="1:6">
      <c r="A10" s="3" t="s">
        <v>39</v>
      </c>
      <c r="B10" s="4" t="s">
        <v>40</v>
      </c>
      <c r="C10" s="4" t="s">
        <v>41</v>
      </c>
      <c r="D10" s="5" t="s">
        <v>10</v>
      </c>
      <c r="E10" s="3" t="s">
        <v>11</v>
      </c>
      <c r="F10" s="4" t="s">
        <v>42</v>
      </c>
    </row>
    <row r="11" ht="58" customHeight="1" spans="1:6">
      <c r="A11" s="3" t="s">
        <v>43</v>
      </c>
      <c r="B11" s="4" t="s">
        <v>44</v>
      </c>
      <c r="C11" s="4" t="s">
        <v>45</v>
      </c>
      <c r="D11" s="5" t="s">
        <v>10</v>
      </c>
      <c r="E11" s="6" t="s">
        <v>29</v>
      </c>
      <c r="F11" s="4" t="s">
        <v>46</v>
      </c>
    </row>
    <row r="12" ht="58" customHeight="1" spans="1:6">
      <c r="A12" s="3" t="s">
        <v>47</v>
      </c>
      <c r="B12" s="4" t="s">
        <v>48</v>
      </c>
      <c r="C12" s="4" t="s">
        <v>49</v>
      </c>
      <c r="D12" s="5" t="s">
        <v>10</v>
      </c>
      <c r="E12" s="3" t="s">
        <v>20</v>
      </c>
      <c r="F12" s="4" t="s">
        <v>50</v>
      </c>
    </row>
    <row r="13" ht="58" customHeight="1" spans="1:6">
      <c r="A13" s="3" t="s">
        <v>51</v>
      </c>
      <c r="B13" s="4" t="s">
        <v>52</v>
      </c>
      <c r="C13" s="4" t="s">
        <v>53</v>
      </c>
      <c r="D13" s="5" t="s">
        <v>10</v>
      </c>
      <c r="E13" s="3" t="s">
        <v>11</v>
      </c>
      <c r="F13" s="4" t="s">
        <v>54</v>
      </c>
    </row>
    <row r="14" ht="58" customHeight="1" spans="1:6">
      <c r="A14" s="3" t="s">
        <v>55</v>
      </c>
      <c r="B14" s="4" t="s">
        <v>56</v>
      </c>
      <c r="C14" s="4" t="s">
        <v>57</v>
      </c>
      <c r="D14" s="5" t="s">
        <v>10</v>
      </c>
      <c r="E14" s="3" t="s">
        <v>11</v>
      </c>
      <c r="F14" s="4" t="s">
        <v>58</v>
      </c>
    </row>
    <row r="15" ht="58" customHeight="1" spans="1:6">
      <c r="A15" s="3" t="s">
        <v>59</v>
      </c>
      <c r="B15" s="4" t="s">
        <v>60</v>
      </c>
      <c r="C15" s="4" t="s">
        <v>61</v>
      </c>
      <c r="D15" s="5" t="s">
        <v>10</v>
      </c>
      <c r="E15" s="3" t="s">
        <v>11</v>
      </c>
      <c r="F15" s="4" t="s">
        <v>62</v>
      </c>
    </row>
    <row r="18" ht="13.85" spans="1:1">
      <c r="A18" s="7" t="s">
        <v>63</v>
      </c>
    </row>
    <row r="19" ht="52.15" spans="1:6">
      <c r="A19" s="2" t="s">
        <v>64</v>
      </c>
      <c r="B19" s="2" t="s">
        <v>65</v>
      </c>
      <c r="C19" s="2" t="s">
        <v>66</v>
      </c>
      <c r="D19" s="2" t="s">
        <v>67</v>
      </c>
      <c r="E19" s="2" t="s">
        <v>68</v>
      </c>
      <c r="F19" s="2" t="s">
        <v>69</v>
      </c>
    </row>
    <row r="20" ht="32" customHeight="1" spans="1:6">
      <c r="A20" s="3" t="s">
        <v>70</v>
      </c>
      <c r="B20" s="4" t="s">
        <v>71</v>
      </c>
      <c r="C20" s="4" t="s">
        <v>72</v>
      </c>
      <c r="D20" s="4" t="s">
        <v>73</v>
      </c>
      <c r="E20" s="4" t="s">
        <v>74</v>
      </c>
      <c r="F20" s="5" t="s">
        <v>10</v>
      </c>
    </row>
    <row r="21" ht="32" customHeight="1" spans="1:6">
      <c r="A21" s="3" t="s">
        <v>75</v>
      </c>
      <c r="B21" s="4" t="s">
        <v>76</v>
      </c>
      <c r="C21" s="4" t="s">
        <v>77</v>
      </c>
      <c r="D21" s="4" t="s">
        <v>78</v>
      </c>
      <c r="E21" s="4" t="s">
        <v>79</v>
      </c>
      <c r="F21" s="5" t="s">
        <v>10</v>
      </c>
    </row>
    <row r="22" ht="32" customHeight="1" spans="1:6">
      <c r="A22" s="3" t="s">
        <v>80</v>
      </c>
      <c r="B22" s="4" t="s">
        <v>81</v>
      </c>
      <c r="C22" s="4" t="s">
        <v>82</v>
      </c>
      <c r="D22" s="4" t="s">
        <v>83</v>
      </c>
      <c r="E22" s="4" t="s">
        <v>84</v>
      </c>
      <c r="F22" s="5" t="s">
        <v>10</v>
      </c>
    </row>
    <row r="23" ht="32" customHeight="1" spans="1:6">
      <c r="A23" s="3" t="s">
        <v>85</v>
      </c>
      <c r="B23" s="4" t="s">
        <v>86</v>
      </c>
      <c r="C23" s="4" t="s">
        <v>87</v>
      </c>
      <c r="D23" s="4" t="s">
        <v>88</v>
      </c>
      <c r="E23" s="4" t="s">
        <v>89</v>
      </c>
      <c r="F23" s="5" t="s">
        <v>10</v>
      </c>
    </row>
    <row r="24" ht="32" customHeight="1" spans="1:6">
      <c r="A24" s="3" t="s">
        <v>90</v>
      </c>
      <c r="B24" s="4" t="s">
        <v>91</v>
      </c>
      <c r="C24" s="4" t="s">
        <v>92</v>
      </c>
      <c r="D24" s="4" t="s">
        <v>93</v>
      </c>
      <c r="E24" s="4" t="s">
        <v>94</v>
      </c>
      <c r="F24" s="5" t="s">
        <v>10</v>
      </c>
    </row>
    <row r="25" ht="32" customHeight="1" spans="1:6">
      <c r="A25" s="3" t="s">
        <v>95</v>
      </c>
      <c r="B25" s="4" t="s">
        <v>96</v>
      </c>
      <c r="C25" s="4" t="s">
        <v>97</v>
      </c>
      <c r="D25" s="4" t="s">
        <v>98</v>
      </c>
      <c r="E25" s="4" t="s">
        <v>99</v>
      </c>
      <c r="F25" s="5" t="s">
        <v>10</v>
      </c>
    </row>
    <row r="26" ht="32" customHeight="1" spans="1:6">
      <c r="A26" s="3" t="s">
        <v>100</v>
      </c>
      <c r="B26" s="4" t="s">
        <v>101</v>
      </c>
      <c r="C26" s="4" t="s">
        <v>102</v>
      </c>
      <c r="D26" s="4" t="s">
        <v>103</v>
      </c>
      <c r="E26" s="4" t="s">
        <v>104</v>
      </c>
      <c r="F26" s="5" t="s">
        <v>10</v>
      </c>
    </row>
    <row r="27" ht="32" customHeight="1" spans="1:6">
      <c r="A27" s="3" t="s">
        <v>105</v>
      </c>
      <c r="B27" s="4" t="s">
        <v>106</v>
      </c>
      <c r="C27" s="4" t="s">
        <v>107</v>
      </c>
      <c r="D27" s="4" t="s">
        <v>108</v>
      </c>
      <c r="E27" s="4" t="s">
        <v>109</v>
      </c>
      <c r="F27" s="5" t="s">
        <v>10</v>
      </c>
    </row>
    <row r="28" ht="32" customHeight="1" spans="1:6">
      <c r="A28" s="3" t="s">
        <v>110</v>
      </c>
      <c r="B28" s="4" t="s">
        <v>111</v>
      </c>
      <c r="C28" s="4" t="s">
        <v>112</v>
      </c>
      <c r="D28" s="4" t="s">
        <v>113</v>
      </c>
      <c r="E28" s="4" t="s">
        <v>114</v>
      </c>
      <c r="F28" s="5" t="s">
        <v>10</v>
      </c>
    </row>
    <row r="29" ht="32" customHeight="1" spans="1:6">
      <c r="A29" s="3" t="s">
        <v>115</v>
      </c>
      <c r="B29" s="4" t="s">
        <v>116</v>
      </c>
      <c r="C29" s="4" t="s">
        <v>117</v>
      </c>
      <c r="D29" s="4" t="s">
        <v>118</v>
      </c>
      <c r="E29" s="4" t="s">
        <v>119</v>
      </c>
      <c r="F29" s="5" t="s">
        <v>10</v>
      </c>
    </row>
    <row r="30" ht="32" customHeight="1" spans="1:6">
      <c r="A30" s="3" t="s">
        <v>120</v>
      </c>
      <c r="B30" s="4" t="s">
        <v>121</v>
      </c>
      <c r="C30" s="4" t="s">
        <v>122</v>
      </c>
      <c r="D30" s="4" t="s">
        <v>123</v>
      </c>
      <c r="E30" s="4" t="s">
        <v>124</v>
      </c>
      <c r="F30" s="5" t="s">
        <v>10</v>
      </c>
    </row>
    <row r="31" ht="32" customHeight="1" spans="1:6">
      <c r="A31" s="3" t="s">
        <v>125</v>
      </c>
      <c r="B31" s="4" t="s">
        <v>126</v>
      </c>
      <c r="C31" s="4" t="s">
        <v>127</v>
      </c>
      <c r="D31" s="4" t="s">
        <v>128</v>
      </c>
      <c r="E31" s="4" t="s">
        <v>129</v>
      </c>
      <c r="F31" s="5" t="s">
        <v>10</v>
      </c>
    </row>
    <row r="32" ht="32" customHeight="1" spans="1:6">
      <c r="A32" s="3" t="s">
        <v>130</v>
      </c>
      <c r="B32" s="4" t="s">
        <v>131</v>
      </c>
      <c r="C32" s="4" t="s">
        <v>132</v>
      </c>
      <c r="D32" s="4" t="s">
        <v>133</v>
      </c>
      <c r="E32" s="4" t="s">
        <v>134</v>
      </c>
      <c r="F32" s="5" t="s">
        <v>10</v>
      </c>
    </row>
    <row r="33" ht="32" customHeight="1" spans="1:6">
      <c r="A33" s="3" t="s">
        <v>135</v>
      </c>
      <c r="B33" s="4" t="s">
        <v>40</v>
      </c>
      <c r="C33" s="4" t="s">
        <v>136</v>
      </c>
      <c r="D33" s="4" t="s">
        <v>137</v>
      </c>
      <c r="E33" s="4" t="s">
        <v>138</v>
      </c>
      <c r="F33" s="5" t="s">
        <v>10</v>
      </c>
    </row>
    <row r="34" ht="32" customHeight="1" spans="1:6">
      <c r="A34" s="3" t="s">
        <v>139</v>
      </c>
      <c r="B34" s="4" t="s">
        <v>140</v>
      </c>
      <c r="C34" s="4" t="s">
        <v>141</v>
      </c>
      <c r="D34" s="4" t="s">
        <v>142</v>
      </c>
      <c r="E34" s="4" t="s">
        <v>143</v>
      </c>
      <c r="F34" s="5" t="s">
        <v>10</v>
      </c>
    </row>
    <row r="35" ht="32" customHeight="1" spans="1:6">
      <c r="A35" s="3" t="s">
        <v>144</v>
      </c>
      <c r="B35" s="4" t="s">
        <v>145</v>
      </c>
      <c r="C35" s="4" t="s">
        <v>146</v>
      </c>
      <c r="D35" s="4" t="s">
        <v>147</v>
      </c>
      <c r="E35" s="4" t="s">
        <v>148</v>
      </c>
      <c r="F35" s="5" t="s">
        <v>10</v>
      </c>
    </row>
    <row r="36" ht="32" customHeight="1" spans="1:6">
      <c r="A36" s="3" t="s">
        <v>149</v>
      </c>
      <c r="B36" s="4" t="s">
        <v>150</v>
      </c>
      <c r="C36" s="4" t="s">
        <v>151</v>
      </c>
      <c r="D36" s="4" t="s">
        <v>152</v>
      </c>
      <c r="E36" s="4" t="s">
        <v>153</v>
      </c>
      <c r="F36" s="5" t="s">
        <v>10</v>
      </c>
    </row>
    <row r="37" ht="32" customHeight="1" spans="1:6">
      <c r="A37" s="3" t="s">
        <v>154</v>
      </c>
      <c r="B37" s="4" t="s">
        <v>155</v>
      </c>
      <c r="C37" s="4" t="s">
        <v>156</v>
      </c>
      <c r="D37" s="4" t="s">
        <v>157</v>
      </c>
      <c r="E37" s="4" t="s">
        <v>158</v>
      </c>
      <c r="F37" s="5" t="s">
        <v>10</v>
      </c>
    </row>
    <row r="38" ht="32" customHeight="1" spans="1:6">
      <c r="A38" s="3" t="s">
        <v>159</v>
      </c>
      <c r="B38" s="4" t="s">
        <v>160</v>
      </c>
      <c r="C38" s="4" t="s">
        <v>161</v>
      </c>
      <c r="D38" s="4" t="s">
        <v>162</v>
      </c>
      <c r="E38" s="4" t="s">
        <v>163</v>
      </c>
      <c r="F38" s="5" t="s">
        <v>10</v>
      </c>
    </row>
    <row r="39" ht="32" customHeight="1" spans="1:6">
      <c r="A39" s="3" t="s">
        <v>164</v>
      </c>
      <c r="B39" s="4" t="s">
        <v>165</v>
      </c>
      <c r="C39" s="4" t="s">
        <v>166</v>
      </c>
      <c r="D39" s="4" t="s">
        <v>167</v>
      </c>
      <c r="E39" s="4" t="s">
        <v>168</v>
      </c>
      <c r="F39" s="5" t="s">
        <v>10</v>
      </c>
    </row>
    <row r="41" ht="13.85" spans="2:3">
      <c r="B41" s="8" t="s">
        <v>169</v>
      </c>
      <c r="C41" s="9">
        <f>COUNTA(A20:A39)</f>
        <v>20</v>
      </c>
    </row>
    <row r="42" ht="13.85" spans="2:3">
      <c r="B42" s="8" t="s">
        <v>170</v>
      </c>
      <c r="C42" s="9">
        <f>COUNTIF(F20:F39,"是")</f>
        <v>0</v>
      </c>
    </row>
    <row r="43" ht="13.85" spans="2:3">
      <c r="B43" s="8" t="s">
        <v>171</v>
      </c>
      <c r="C43" s="10">
        <f>COUNTIF(F20:F39,"是")/COUNTA(F20:F39)</f>
        <v>0</v>
      </c>
    </row>
  </sheetData>
  <mergeCells count="1">
    <mergeCell ref="A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yd</cp:lastModifiedBy>
  <dcterms:created xsi:type="dcterms:W3CDTF">2026-09-02T01:18:00Z</dcterms:created>
  <dcterms:modified xsi:type="dcterms:W3CDTF">2026-09-02T04:59:57Z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{"Label":"1","ContentProducer":"001191440300708461136T1WFUO","ProduceID":"a870f6cff3c8a6c1abb53801c5fd228b-tGq7","ReservedCode1":"{\"Type\":\" TC260PG\",\"Version\":1,\"Bindings\":[{\"Type\":\"soft\",\"AlgID\":\"sm3\",\"Value\":\"0690a141516d4aca851f7cb291b035fe589bf048df4b0623302ae4d56e60bd3a\"},{\"Type\":\"hash\",\"AlgID\":\"sm3\",\"Value\":\"e23ded8bb0b546be94a691198b3d11a46b6666c40a90d87f4202a754b682a4c2\"}],\"PubSD\":[{\"Type\":\"DS\",\"AlgID\":\"sm2\",\"TBSData\":{\"Type\":\"Binding\",\"BType\":\"hash\"},\"Signature\":\"304402204bc5b3f3bcd87d684d413386361b1b2597d4a2f232d85ae5a68d894bbe2ba5140220257431bd36f312a2751a73f35cfd3d2965b3c7c5a7fd4000d7aa9be420d8b5a5\"},{\"Type\":\"PubKey\",\"AlgID\":\"sm2\",\"KeyValue\":\"0407f79b28a17a752b3aae4305c98b48978213832729a2571850b1310b2bc9fe8fee039ccf25ebfeac27502414d9fcef792d777183c98893d226171c2f7a3289a2\"}],\"Extension\":{\"Timestamp\":1788312621,\"KeyVersion\":\"v1-TxLeOmf7bqU223\"}}","ContentPropagator":"001191440300708461136T1WFUO","PropagateID":"a870f6cff3c8a6c1abb53801c5fd228b-tGq7","ReservedCode2":"{\"Type\":\" TC260PG\",\"Version\":1,\"Bindings\":[{\"Type\":\"soft\",\"AlgID\":\"sm3\",\"Value\":\"0690a141516d4aca851f7cb291b035fe589bf048df4b0623302ae4d56e60bd3a\"},{\"Type\":\"hash\",\"AlgID\":\"sm3\",\"Value\":\"e23ded8bb0b546be94a691198b3d11a46b6666c40a90d87f4202a754b682a4c2\"}],\"PubSD\":[{\"Type\":\"DS\",\"AlgID\":\"sm2\",\"TBSData\":{\"Type\":\"Binding\",\"BType\":\"hash\"},\"Signature\":\"30450220652f08ac432a6f8437932c4363c0f6e3c3cf56555edef716eb679a29956e9829022100ec29e02b6a34eedcd1e6a4d434d7d990d9ce3688fd1a974dfeec510d9c6d0064\"},{\"Type\":\"PubKey\",\"AlgID\":\"sm2\",\"KeyValue\":\"0407f79b28a17a752b3aae4305c98b48978213832729a2571850b1310b2bc9fe8fee039ccf25ebfeac27502414d9fcef792d777183c98893d226171c2f7a3289a2\"}],\"Extension\":{\"Timestamp\":1788312621,\"KeyVersion\":\"v1-TxLeOmf7bqU223\"}}"}</vt:lpwstr>
  </property>
  <property fmtid="{D5CDD505-2E9C-101B-9397-08002B2CF9AE}" pid="3" name="ICV">
    <vt:lpwstr>A5244DF05BF74EDC9A1D1AC1ECC1ABFD_12</vt:lpwstr>
  </property>
  <property fmtid="{D5CDD505-2E9C-101B-9397-08002B2CF9AE}" pid="4" name="KSOProductBuildVer">
    <vt:lpwstr>2052-12.1.0.17468</vt:lpwstr>
  </property>
</Properties>
</file>